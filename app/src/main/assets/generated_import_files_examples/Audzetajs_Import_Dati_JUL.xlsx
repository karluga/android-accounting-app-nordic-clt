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ltersRiekstiņš\Downloads\"/>
    </mc:Choice>
  </mc:AlternateContent>
  <xr:revisionPtr revIDLastSave="0" documentId="13_ncr:1_{68D8BC58-48AF-4150-905D-8DFFDEF51453}" xr6:coauthVersionLast="47" xr6:coauthVersionMax="47" xr10:uidLastSave="{00000000-0000-0000-0000-000000000000}"/>
  <bookViews>
    <workbookView xWindow="-108" yWindow="-108" windowWidth="23256" windowHeight="13896" xr2:uid="{84FC1B62-62BB-46ED-9ADD-7E6E95A201A7}"/>
  </bookViews>
  <sheets>
    <sheet name="Tasks_2026_06_3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1" l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<sst xmlns="http://schemas.openxmlformats.org/spreadsheetml/2006/main" count="225" uniqueCount="22">
  <si>
    <t>Datums</t>
  </si>
  <si>
    <t>Related to</t>
  </si>
  <si>
    <t>2026_Import to CRM</t>
  </si>
  <si>
    <t>Tast name</t>
  </si>
  <si>
    <t>Tips</t>
  </si>
  <si>
    <t>1. Audzētājs</t>
  </si>
  <si>
    <t>Ražošana</t>
  </si>
  <si>
    <t>Status</t>
  </si>
  <si>
    <t>Completed</t>
  </si>
  <si>
    <t>Saražoti m3</t>
  </si>
  <si>
    <t>Kopā masteri</t>
  </si>
  <si>
    <t>Kolonnu apdare T3</t>
  </si>
  <si>
    <t>R23_CLT tualete</t>
  </si>
  <si>
    <t>R17_Namiņš</t>
  </si>
  <si>
    <t>Brusas</t>
  </si>
  <si>
    <t>R22_Jaunpuntuži brusas</t>
  </si>
  <si>
    <t>R18_Celto Saunas I</t>
  </si>
  <si>
    <t>R21_NC37_Kabn I</t>
  </si>
  <si>
    <t>R05_papildus brusas</t>
  </si>
  <si>
    <t>R21_NC37_Kabn II</t>
  </si>
  <si>
    <t>R25_Arno</t>
  </si>
  <si>
    <t>R24_Jaunpuntuži modulis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</si>
</sst>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charset val="186"/>
      <scheme val="minor"/>
    </font>
    <font>
      <sz val="11"/>
      <color theme="1"/>
      <name val="Aptos Narrow"/>
      <family val="2"/>
      <charset val="186"/>
      <scheme val="minor"/>
    </font>
    <font>
      <sz val="18"/>
      <color theme="3"/>
      <name val="Aptos Display"/>
      <family val="2"/>
      <charset val="186"/>
      <scheme val="major"/>
    </font>
    <font>
      <b/>
      <sz val="15"/>
      <color theme="3"/>
      <name val="Aptos Narrow"/>
      <family val="2"/>
      <charset val="186"/>
      <scheme val="minor"/>
    </font>
    <font>
      <b/>
      <sz val="13"/>
      <color theme="3"/>
      <name val="Aptos Narrow"/>
      <family val="2"/>
      <charset val="186"/>
      <scheme val="minor"/>
    </font>
    <font>
      <b/>
      <sz val="11"/>
      <color theme="3"/>
      <name val="Aptos Narrow"/>
      <family val="2"/>
      <charset val="186"/>
      <scheme val="minor"/>
    </font>
    <font>
      <sz val="11"/>
      <color rgb="FF006100"/>
      <name val="Aptos Narrow"/>
      <family val="2"/>
      <charset val="186"/>
      <scheme val="minor"/>
    </font>
    <font>
      <sz val="11"/>
      <color rgb="FF9C0006"/>
      <name val="Aptos Narrow"/>
      <family val="2"/>
      <charset val="186"/>
      <scheme val="minor"/>
    </font>
    <font>
      <sz val="11"/>
      <color rgb="FF9C5700"/>
      <name val="Aptos Narrow"/>
      <family val="2"/>
      <charset val="186"/>
      <scheme val="minor"/>
    </font>
    <font>
      <sz val="11"/>
      <color rgb="FF3F3F76"/>
      <name val="Aptos Narrow"/>
      <family val="2"/>
      <charset val="186"/>
      <scheme val="minor"/>
    </font>
    <font>
      <b/>
      <sz val="11"/>
      <color rgb="FF3F3F3F"/>
      <name val="Aptos Narrow"/>
      <family val="2"/>
      <charset val="186"/>
      <scheme val="minor"/>
    </font>
    <font>
      <b/>
      <sz val="11"/>
      <color rgb="FFFA7D00"/>
      <name val="Aptos Narrow"/>
      <family val="2"/>
      <charset val="186"/>
      <scheme val="minor"/>
    </font>
    <font>
      <sz val="11"/>
      <color rgb="FFFA7D00"/>
      <name val="Aptos Narrow"/>
      <family val="2"/>
      <charset val="186"/>
      <scheme val="minor"/>
    </font>
    <font>
      <b/>
      <sz val="11"/>
      <color theme="0"/>
      <name val="Aptos Narrow"/>
      <family val="2"/>
      <charset val="186"/>
      <scheme val="minor"/>
    </font>
    <font>
      <sz val="11"/>
      <color rgb="FFFF0000"/>
      <name val="Aptos Narrow"/>
      <family val="2"/>
      <charset val="186"/>
      <scheme val="minor"/>
    </font>
    <font>
      <i/>
      <sz val="11"/>
      <color rgb="FF7F7F7F"/>
      <name val="Aptos Narrow"/>
      <family val="2"/>
      <charset val="186"/>
      <scheme val="minor"/>
    </font>
    <font>
      <b/>
      <sz val="11"/>
      <color theme="1"/>
      <name val="Aptos Narrow"/>
      <family val="2"/>
      <charset val="186"/>
      <scheme val="minor"/>
    </font>
    <font>
      <sz val="11"/>
      <color theme="0"/>
      <name val="Aptos Narrow"/>
      <family val="2"/>
      <charset val="186"/>
      <scheme val="minor"/>
    </font>
    <font>
      <sz val="8"/>
      <color rgb="FF212129"/>
      <name val="Arial"/>
      <family val="2"/>
      <charset val="186"/>
    </font>
    <font>
      <sz val="8"/>
      <name val="Aptos Narrow"/>
      <family val="2"/>
      <charset val="18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18" fillId="0" borderId="0" xfId="0" applyFont="1"/>
    <xf numFmtId="1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FB4FE-EF1E-4A6A-A7B6-0536D5D17EE9}">
  <dimension ref="A1:G55"/>
  <sheetViews>
    <sheetView tabSelected="1" topLeftCell="A15" workbookViewId="0">
      <selection activeCell="C22" sqref="C22"/>
    </sheetView>
  </sheetViews>
  <sheetFormatPr defaultRowHeight="14.4" x14ac:dyDescent="0.3"/>
  <cols>
    <col min="1" max="1" width="15.21875" customWidth="1"/>
    <col min="2" max="2" width="14.6640625" customWidth="1"/>
    <col min="3" max="3" width="10.109375" bestFit="1" customWidth="1"/>
    <col min="4" max="4" width="10.109375" customWidth="1"/>
    <col min="5" max="5" width="14" customWidth="1"/>
    <col min="6" max="6" width="17.77734375" customWidth="1"/>
  </cols>
  <sheetData>
    <row r="1" spans="1:7" x14ac:dyDescent="0.3">
      <c r="A1" t="s">
        <v>3</v>
      </c>
      <c r="B1" t="s">
        <v>7</v>
      </c>
      <c r="C1" t="s">
        <v>0</v>
      </c>
      <c r="D1" t="s">
        <v>9</v>
      </c>
      <c r="E1" t="s">
        <v>10</v>
      </c>
      <c r="F1" t="s">
        <v>1</v>
      </c>
      <c r="G1" t="s">
        <v>4</v>
      </c>
    </row>
    <row r="2" spans="1:7" x14ac:dyDescent="0.3">
      <c r="A2" t="s">
        <v>5</v>
      </c>
      <c r="B2" t="s">
        <v>8</v>
      </c>
      <c r="C2" s="1">
        <v>46206</v>
      </c>
      <c r="D2" s="3">
        <f>470*0.047*0.15</f>
        <v>3.3134999999999999</v>
      </c>
      <c r="E2" s="3">
        <v>5</v>
      </c>
      <c r="F2" s="2" t="s">
        <v>11</v>
      </c>
      <c r="G2" t="s">
        <v>6</v>
      </c>
    </row>
    <row r="3" spans="1:7" x14ac:dyDescent="0.3">
      <c r="A3" t="s">
        <v>5</v>
      </c>
      <c r="B3" t="s">
        <v>8</v>
      </c>
      <c r="C3" s="1">
        <v>46209</v>
      </c>
      <c r="D3" s="3">
        <f>990*0.047*0.15</f>
        <v>6.9794999999999998</v>
      </c>
      <c r="E3" s="3">
        <v>10</v>
      </c>
      <c r="F3" s="2" t="s">
        <v>11</v>
      </c>
      <c r="G3" t="s">
        <v>6</v>
      </c>
    </row>
    <row r="4" spans="1:7" x14ac:dyDescent="0.3">
      <c r="A4" t="s">
        <v>5</v>
      </c>
      <c r="B4" t="s">
        <v>8</v>
      </c>
      <c r="C4" s="1">
        <v>46210</v>
      </c>
      <c r="D4" s="3">
        <f>290*0.047*0.15</f>
        <v>2.0445000000000002</v>
      </c>
      <c r="E4" s="3">
        <v>3</v>
      </c>
      <c r="F4" s="2" t="s">
        <v>11</v>
      </c>
      <c r="G4" t="s">
        <v>6</v>
      </c>
    </row>
    <row r="5" spans="1:7" x14ac:dyDescent="0.3">
      <c r="A5" t="s">
        <v>5</v>
      </c>
      <c r="B5" t="s">
        <v>8</v>
      </c>
      <c r="C5" s="1">
        <v>46210</v>
      </c>
      <c r="D5" s="3">
        <f>600*0.047*0.15</f>
        <v>4.2299999999999995</v>
      </c>
      <c r="E5" s="3">
        <v>3</v>
      </c>
      <c r="F5" s="2" t="s">
        <v>12</v>
      </c>
      <c r="G5" t="s">
        <v>6</v>
      </c>
    </row>
    <row r="6" spans="1:7" x14ac:dyDescent="0.3">
      <c r="A6" t="s">
        <v>5</v>
      </c>
      <c r="B6" t="s">
        <v>8</v>
      </c>
      <c r="C6" s="1">
        <v>46211</v>
      </c>
      <c r="D6" s="3">
        <f>740*0.047*0.15</f>
        <v>5.2169999999999996</v>
      </c>
      <c r="E6" s="3">
        <v>3</v>
      </c>
      <c r="F6" s="2" t="s">
        <v>13</v>
      </c>
      <c r="G6" t="s">
        <v>6</v>
      </c>
    </row>
    <row r="7" spans="1:7" x14ac:dyDescent="0.3">
      <c r="A7" t="s">
        <v>5</v>
      </c>
      <c r="B7" t="s">
        <v>8</v>
      </c>
      <c r="C7" s="1">
        <v>46212</v>
      </c>
      <c r="D7" s="4">
        <f>350*0.047*0.015</f>
        <v>0.24674999999999997</v>
      </c>
      <c r="E7" s="3" t="s">
        <v>14</v>
      </c>
      <c r="F7" s="2" t="s">
        <v>15</v>
      </c>
      <c r="G7" t="s">
        <v>6</v>
      </c>
    </row>
    <row r="8" spans="1:7" x14ac:dyDescent="0.3">
      <c r="A8" t="s">
        <v>5</v>
      </c>
      <c r="B8" t="s">
        <v>8</v>
      </c>
      <c r="C8" s="1">
        <v>46213</v>
      </c>
      <c r="D8" s="3">
        <f>370*0.047*0.15</f>
        <v>2.6084999999999998</v>
      </c>
      <c r="E8" s="3">
        <v>3</v>
      </c>
      <c r="F8" s="2" t="s">
        <v>16</v>
      </c>
      <c r="G8" t="s">
        <v>6</v>
      </c>
    </row>
    <row r="9" spans="1:7" x14ac:dyDescent="0.3">
      <c r="A9" t="s">
        <v>5</v>
      </c>
      <c r="B9" t="s">
        <v>8</v>
      </c>
      <c r="C9" s="1">
        <v>46216</v>
      </c>
      <c r="D9" s="3">
        <f>265*0.047*0.15</f>
        <v>1.86825</v>
      </c>
      <c r="E9" s="3">
        <v>2</v>
      </c>
      <c r="F9" s="2" t="s">
        <v>17</v>
      </c>
      <c r="G9" t="s">
        <v>6</v>
      </c>
    </row>
    <row r="10" spans="1:7" x14ac:dyDescent="0.3">
      <c r="A10" t="s">
        <v>5</v>
      </c>
      <c r="B10" t="s">
        <v>8</v>
      </c>
      <c r="C10" s="1">
        <v>46217</v>
      </c>
      <c r="D10" s="3">
        <f>708*0.047*0.15</f>
        <v>4.9914000000000005</v>
      </c>
      <c r="E10" s="3">
        <v>2</v>
      </c>
      <c r="F10" s="2" t="s">
        <v>17</v>
      </c>
      <c r="G10" t="s">
        <v>6</v>
      </c>
    </row>
    <row r="11" spans="1:7" x14ac:dyDescent="0.3">
      <c r="A11" t="s">
        <v>5</v>
      </c>
      <c r="B11" t="s">
        <v>8</v>
      </c>
      <c r="C11" s="1">
        <v>46217</v>
      </c>
      <c r="D11" s="3">
        <f>412*0.047*0.15</f>
        <v>2.9045999999999998</v>
      </c>
      <c r="E11" s="3" t="s">
        <v>14</v>
      </c>
      <c r="F11" s="2" t="s">
        <v>18</v>
      </c>
      <c r="G11" t="s">
        <v>6</v>
      </c>
    </row>
    <row r="12" spans="1:7" x14ac:dyDescent="0.3">
      <c r="A12" t="s">
        <v>5</v>
      </c>
      <c r="B12" t="s">
        <v>8</v>
      </c>
      <c r="C12" s="1">
        <v>46218</v>
      </c>
      <c r="D12" s="3">
        <f>894*0.047*0.15</f>
        <v>6.3026999999999997</v>
      </c>
      <c r="E12" s="3">
        <v>2</v>
      </c>
      <c r="F12" s="2" t="s">
        <v>17</v>
      </c>
      <c r="G12" t="s">
        <v>6</v>
      </c>
    </row>
    <row r="13" spans="1:7" x14ac:dyDescent="0.3">
      <c r="A13" t="s">
        <v>5</v>
      </c>
      <c r="B13" t="s">
        <v>8</v>
      </c>
      <c r="C13" s="1">
        <v>46219</v>
      </c>
      <c r="D13" s="3">
        <f>1032*0.047*0.15</f>
        <v>7.275599999999999</v>
      </c>
      <c r="E13" s="3">
        <v>5</v>
      </c>
      <c r="F13" s="2" t="s">
        <v>17</v>
      </c>
      <c r="G13" t="s">
        <v>6</v>
      </c>
    </row>
    <row r="14" spans="1:7" x14ac:dyDescent="0.3">
      <c r="A14" t="s">
        <v>5</v>
      </c>
      <c r="B14" t="s">
        <v>8</v>
      </c>
      <c r="C14" s="1">
        <v>46220</v>
      </c>
      <c r="D14" s="3">
        <f>472*0.032*0.1</f>
        <v>1.5104000000000002</v>
      </c>
      <c r="E14" s="3">
        <v>0</v>
      </c>
      <c r="F14" s="2" t="s">
        <v>17</v>
      </c>
      <c r="G14" t="s">
        <v>6</v>
      </c>
    </row>
    <row r="15" spans="1:7" x14ac:dyDescent="0.3">
      <c r="A15" t="s">
        <v>5</v>
      </c>
      <c r="B15" t="s">
        <v>8</v>
      </c>
      <c r="C15" s="1">
        <v>46224</v>
      </c>
      <c r="D15" s="3">
        <f>330*0.047*0.15</f>
        <v>2.3264999999999998</v>
      </c>
      <c r="E15" s="3">
        <v>3</v>
      </c>
      <c r="F15" s="2" t="s">
        <v>18</v>
      </c>
      <c r="G15" t="s">
        <v>6</v>
      </c>
    </row>
    <row r="16" spans="1:7" x14ac:dyDescent="0.3">
      <c r="A16" t="s">
        <v>5</v>
      </c>
      <c r="B16" t="s">
        <v>8</v>
      </c>
      <c r="C16" s="1">
        <v>46226</v>
      </c>
      <c r="D16" s="3">
        <f>698*0.038*0.15</f>
        <v>3.9786000000000001</v>
      </c>
      <c r="E16" s="3">
        <v>1</v>
      </c>
      <c r="F16" s="2" t="s">
        <v>18</v>
      </c>
      <c r="G16" t="s">
        <v>6</v>
      </c>
    </row>
    <row r="17" spans="1:7" x14ac:dyDescent="0.3">
      <c r="A17" t="s">
        <v>5</v>
      </c>
      <c r="B17" t="s">
        <v>8</v>
      </c>
      <c r="C17" s="1">
        <v>46227</v>
      </c>
      <c r="D17" s="3">
        <f>812*0.038*0.15</f>
        <v>4.6283999999999992</v>
      </c>
      <c r="E17" s="3">
        <v>2</v>
      </c>
      <c r="F17" s="2" t="s">
        <v>19</v>
      </c>
      <c r="G17" t="s">
        <v>6</v>
      </c>
    </row>
    <row r="18" spans="1:7" x14ac:dyDescent="0.3">
      <c r="A18" t="s">
        <v>5</v>
      </c>
      <c r="B18" t="s">
        <v>8</v>
      </c>
      <c r="C18" s="1">
        <v>46230</v>
      </c>
      <c r="D18" s="3">
        <f>535*0.047*0.15</f>
        <v>3.7717499999999999</v>
      </c>
      <c r="E18" s="3">
        <v>1</v>
      </c>
      <c r="F18" s="2" t="s">
        <v>19</v>
      </c>
      <c r="G18" t="s">
        <v>6</v>
      </c>
    </row>
    <row r="19" spans="1:7" x14ac:dyDescent="0.3">
      <c r="A19" t="s">
        <v>5</v>
      </c>
      <c r="B19" t="s">
        <v>8</v>
      </c>
      <c r="C19" s="1">
        <v>46231</v>
      </c>
      <c r="D19" s="3">
        <f>235*0.047*0.15</f>
        <v>1.6567499999999999</v>
      </c>
      <c r="E19" s="3">
        <v>2</v>
      </c>
      <c r="F19" s="2" t="s">
        <v>19</v>
      </c>
      <c r="G19" t="s">
        <v>6</v>
      </c>
    </row>
    <row r="20" spans="1:7" x14ac:dyDescent="0.3">
      <c r="A20" t="s">
        <v>5</v>
      </c>
      <c r="B20" t="s">
        <v>8</v>
      </c>
      <c r="C20" s="1">
        <v>46232</v>
      </c>
      <c r="D20" s="3">
        <f>1680*0.04*0.15</f>
        <v>10.08</v>
      </c>
      <c r="E20" s="3">
        <v>3</v>
      </c>
      <c r="F20" s="2" t="s">
        <v>20</v>
      </c>
      <c r="G20" t="s">
        <v>6</v>
      </c>
    </row>
    <row r="21" spans="1:7" x14ac:dyDescent="0.3">
      <c r="A21" t="s">
        <v>5</v>
      </c>
      <c r="B21" t="s">
        <v>8</v>
      </c>
      <c r="C21" s="1">
        <v>46234</v>
      </c>
      <c r="D21" s="3">
        <f>247*0.047*0.15</f>
        <v>1.74135</v>
      </c>
      <c r="E21" s="3">
        <v>0</v>
      </c>
      <c r="F21" s="2" t="s">
        <v>21</v>
      </c>
      <c r="G21" t="s">
        <v>6</v>
      </c>
    </row>
    <row r="22" spans="1:7" x14ac:dyDescent="0.3">
      <c r="A22" t="s">
        <v>5</v>
      </c>
      <c r="B22" t="s">
        <v>8</v>
      </c>
      <c r="C22" s="1"/>
      <c r="D22" s="3"/>
      <c r="E22" s="3"/>
      <c r="F22" s="2" t="s">
        <v>2</v>
      </c>
      <c r="G22" t="s">
        <v>6</v>
      </c>
    </row>
    <row r="23" spans="1:7" x14ac:dyDescent="0.3">
      <c r="A23" t="s">
        <v>5</v>
      </c>
      <c r="B23" t="s">
        <v>8</v>
      </c>
      <c r="C23" s="1"/>
      <c r="D23" s="3"/>
      <c r="E23" s="3"/>
      <c r="F23" s="2" t="s">
        <v>2</v>
      </c>
      <c r="G23" t="s">
        <v>6</v>
      </c>
    </row>
    <row r="24" spans="1:7" x14ac:dyDescent="0.3">
      <c r="A24" t="s">
        <v>5</v>
      </c>
      <c r="B24" t="s">
        <v>8</v>
      </c>
      <c r="C24" s="1"/>
      <c r="D24" s="3"/>
      <c r="E24" s="3"/>
      <c r="F24" s="2" t="s">
        <v>2</v>
      </c>
      <c r="G24" t="s">
        <v>6</v>
      </c>
    </row>
    <row r="25" spans="1:7" x14ac:dyDescent="0.3">
      <c r="A25" t="s">
        <v>5</v>
      </c>
      <c r="B25" t="s">
        <v>8</v>
      </c>
      <c r="C25" s="1"/>
      <c r="D25" s="3"/>
      <c r="E25" s="3"/>
      <c r="F25" s="2" t="s">
        <v>2</v>
      </c>
      <c r="G25" t="s">
        <v>6</v>
      </c>
    </row>
    <row r="26" spans="1:7" x14ac:dyDescent="0.3">
      <c r="A26" t="s">
        <v>5</v>
      </c>
      <c r="B26" t="s">
        <v>8</v>
      </c>
      <c r="C26" s="1"/>
      <c r="D26" s="3"/>
      <c r="E26" s="3"/>
      <c r="F26" s="2" t="s">
        <v>2</v>
      </c>
      <c r="G26" t="s">
        <v>6</v>
      </c>
    </row>
    <row r="27" spans="1:7" x14ac:dyDescent="0.3">
      <c r="A27" t="s">
        <v>5</v>
      </c>
      <c r="B27" t="s">
        <v>8</v>
      </c>
      <c r="C27" s="1"/>
      <c r="D27" s="3"/>
      <c r="E27" s="3"/>
      <c r="F27" s="2" t="s">
        <v>2</v>
      </c>
      <c r="G27" t="s">
        <v>6</v>
      </c>
    </row>
    <row r="28" spans="1:7" x14ac:dyDescent="0.3">
      <c r="A28" t="s">
        <v>5</v>
      </c>
      <c r="B28" t="s">
        <v>8</v>
      </c>
      <c r="C28" s="1"/>
      <c r="D28" s="3"/>
      <c r="E28" s="3"/>
      <c r="F28" s="2" t="s">
        <v>2</v>
      </c>
      <c r="G28" t="s">
        <v>6</v>
      </c>
    </row>
    <row r="29" spans="1:7" x14ac:dyDescent="0.3">
      <c r="A29" t="s">
        <v>5</v>
      </c>
      <c r="B29" t="s">
        <v>8</v>
      </c>
      <c r="C29" s="1"/>
      <c r="D29" s="3"/>
      <c r="E29" s="3"/>
      <c r="F29" s="2" t="s">
        <v>2</v>
      </c>
      <c r="G29" t="s">
        <v>6</v>
      </c>
    </row>
    <row r="30" spans="1:7" x14ac:dyDescent="0.3">
      <c r="A30" t="s">
        <v>5</v>
      </c>
      <c r="B30" t="s">
        <v>8</v>
      </c>
      <c r="C30" s="1"/>
      <c r="D30" s="3"/>
      <c r="E30" s="3"/>
      <c r="F30" s="2" t="s">
        <v>2</v>
      </c>
      <c r="G30" t="s">
        <v>6</v>
      </c>
    </row>
    <row r="31" spans="1:7" x14ac:dyDescent="0.3">
      <c r="A31" t="s">
        <v>5</v>
      </c>
      <c r="B31" t="s">
        <v>8</v>
      </c>
      <c r="C31" s="1"/>
      <c r="D31" s="3"/>
      <c r="E31" s="3"/>
      <c r="F31" s="2" t="s">
        <v>2</v>
      </c>
      <c r="G31" t="s">
        <v>6</v>
      </c>
    </row>
    <row r="32" spans="1:7" x14ac:dyDescent="0.3">
      <c r="A32" t="s">
        <v>5</v>
      </c>
      <c r="B32" t="s">
        <v>8</v>
      </c>
      <c r="C32" s="1"/>
      <c r="D32" s="3"/>
      <c r="E32" s="3"/>
      <c r="F32" s="2" t="s">
        <v>2</v>
      </c>
      <c r="G32" t="s">
        <v>6</v>
      </c>
    </row>
    <row r="33" spans="1:7" x14ac:dyDescent="0.3">
      <c r="A33" t="s">
        <v>5</v>
      </c>
      <c r="B33" t="s">
        <v>8</v>
      </c>
      <c r="C33" s="1"/>
      <c r="D33" s="3"/>
      <c r="E33" s="3"/>
      <c r="F33" s="2" t="s">
        <v>2</v>
      </c>
      <c r="G33" t="s">
        <v>6</v>
      </c>
    </row>
    <row r="34" spans="1:7" x14ac:dyDescent="0.3">
      <c r="A34" t="s">
        <v>5</v>
      </c>
      <c r="B34" t="s">
        <v>8</v>
      </c>
      <c r="C34" s="1"/>
      <c r="D34" s="3"/>
      <c r="E34" s="3"/>
      <c r="F34" s="2" t="s">
        <v>2</v>
      </c>
      <c r="G34" t="s">
        <v>6</v>
      </c>
    </row>
    <row r="35" spans="1:7" x14ac:dyDescent="0.3">
      <c r="A35" t="s">
        <v>5</v>
      </c>
      <c r="B35" t="s">
        <v>8</v>
      </c>
      <c r="C35" s="1"/>
      <c r="D35" s="3"/>
      <c r="E35" s="3"/>
      <c r="F35" s="2" t="s">
        <v>2</v>
      </c>
      <c r="G35" t="s">
        <v>6</v>
      </c>
    </row>
    <row r="36" spans="1:7" x14ac:dyDescent="0.3">
      <c r="A36" t="s">
        <v>5</v>
      </c>
      <c r="B36" t="s">
        <v>8</v>
      </c>
      <c r="C36" s="1"/>
      <c r="D36" s="3"/>
      <c r="E36" s="3"/>
      <c r="F36" s="2" t="s">
        <v>2</v>
      </c>
      <c r="G36" t="s">
        <v>6</v>
      </c>
    </row>
    <row r="37" spans="1:7" x14ac:dyDescent="0.3">
      <c r="A37" t="s">
        <v>5</v>
      </c>
      <c r="B37" t="s">
        <v>8</v>
      </c>
      <c r="C37" s="1"/>
      <c r="D37" s="3"/>
      <c r="E37" s="3"/>
      <c r="F37" s="2" t="s">
        <v>2</v>
      </c>
      <c r="G37" t="s">
        <v>6</v>
      </c>
    </row>
    <row r="38" spans="1:7" x14ac:dyDescent="0.3">
      <c r="A38" t="s">
        <v>5</v>
      </c>
      <c r="B38" t="s">
        <v>8</v>
      </c>
      <c r="C38" s="1"/>
      <c r="D38" s="3"/>
      <c r="E38" s="3"/>
      <c r="F38" s="2" t="s">
        <v>2</v>
      </c>
      <c r="G38" t="s">
        <v>6</v>
      </c>
    </row>
    <row r="39" spans="1:7" x14ac:dyDescent="0.3">
      <c r="A39" t="s">
        <v>5</v>
      </c>
      <c r="B39" t="s">
        <v>8</v>
      </c>
      <c r="C39" s="1"/>
      <c r="D39" s="3"/>
      <c r="E39" s="3"/>
      <c r="F39" s="2" t="s">
        <v>2</v>
      </c>
      <c r="G39" t="s">
        <v>6</v>
      </c>
    </row>
    <row r="40" spans="1:7" x14ac:dyDescent="0.3">
      <c r="A40" t="s">
        <v>5</v>
      </c>
      <c r="B40" t="s">
        <v>8</v>
      </c>
      <c r="C40" s="1"/>
      <c r="D40" s="3"/>
      <c r="E40" s="3"/>
      <c r="F40" s="2" t="s">
        <v>2</v>
      </c>
      <c r="G40" t="s">
        <v>6</v>
      </c>
    </row>
    <row r="41" spans="1:7" x14ac:dyDescent="0.3">
      <c r="A41" t="s">
        <v>5</v>
      </c>
      <c r="B41" t="s">
        <v>8</v>
      </c>
      <c r="C41" s="1"/>
      <c r="D41" s="3"/>
      <c r="E41" s="3"/>
      <c r="F41" s="2" t="s">
        <v>2</v>
      </c>
      <c r="G41" t="s">
        <v>6</v>
      </c>
    </row>
    <row r="42" spans="1:7" x14ac:dyDescent="0.3">
      <c r="A42" t="s">
        <v>5</v>
      </c>
      <c r="B42" t="s">
        <v>8</v>
      </c>
      <c r="C42" s="1"/>
      <c r="D42" s="3"/>
      <c r="E42" s="3"/>
      <c r="F42" s="2" t="s">
        <v>2</v>
      </c>
      <c r="G42" t="s">
        <v>6</v>
      </c>
    </row>
    <row r="43" spans="1:7" x14ac:dyDescent="0.3">
      <c r="A43" t="s">
        <v>5</v>
      </c>
      <c r="B43" t="s">
        <v>8</v>
      </c>
      <c r="C43" s="1"/>
      <c r="D43" s="3"/>
      <c r="E43" s="3"/>
      <c r="F43" s="2" t="s">
        <v>2</v>
      </c>
      <c r="G43" t="s">
        <v>6</v>
      </c>
    </row>
    <row r="44" spans="1:7" x14ac:dyDescent="0.3">
      <c r="A44" t="s">
        <v>5</v>
      </c>
      <c r="B44" t="s">
        <v>8</v>
      </c>
      <c r="C44" s="1"/>
      <c r="D44" s="3"/>
      <c r="E44" s="3"/>
      <c r="F44" s="2" t="s">
        <v>2</v>
      </c>
      <c r="G44" t="s">
        <v>6</v>
      </c>
    </row>
    <row r="45" spans="1:7" x14ac:dyDescent="0.3">
      <c r="A45" t="s">
        <v>5</v>
      </c>
      <c r="B45" t="s">
        <v>8</v>
      </c>
      <c r="C45" s="1"/>
      <c r="D45" s="3"/>
      <c r="E45" s="3"/>
      <c r="F45" s="2" t="s">
        <v>2</v>
      </c>
      <c r="G45" t="s">
        <v>6</v>
      </c>
    </row>
    <row r="46" spans="1:7" x14ac:dyDescent="0.3">
      <c r="A46" t="s">
        <v>5</v>
      </c>
      <c r="B46" t="s">
        <v>8</v>
      </c>
      <c r="C46" s="1"/>
      <c r="D46" s="3"/>
      <c r="E46" s="3"/>
      <c r="F46" s="2" t="s">
        <v>2</v>
      </c>
      <c r="G46" t="s">
        <v>6</v>
      </c>
    </row>
    <row r="47" spans="1:7" x14ac:dyDescent="0.3">
      <c r="A47" t="s">
        <v>5</v>
      </c>
      <c r="B47" t="s">
        <v>8</v>
      </c>
      <c r="C47" s="1"/>
      <c r="D47" s="3"/>
      <c r="E47" s="3"/>
      <c r="F47" s="2" t="s">
        <v>2</v>
      </c>
      <c r="G47" t="s">
        <v>6</v>
      </c>
    </row>
    <row r="48" spans="1:7" x14ac:dyDescent="0.3">
      <c r="A48" t="s">
        <v>5</v>
      </c>
      <c r="B48" t="s">
        <v>8</v>
      </c>
      <c r="C48" s="1"/>
      <c r="D48" s="3"/>
      <c r="E48" s="3"/>
      <c r="F48" s="2" t="s">
        <v>2</v>
      </c>
      <c r="G48" t="s">
        <v>6</v>
      </c>
    </row>
    <row r="49" spans="1:7" x14ac:dyDescent="0.3">
      <c r="A49" t="s">
        <v>5</v>
      </c>
      <c r="B49" t="s">
        <v>8</v>
      </c>
      <c r="C49" s="1"/>
      <c r="D49" s="3"/>
      <c r="E49" s="3"/>
      <c r="F49" s="2" t="s">
        <v>2</v>
      </c>
      <c r="G49" t="s">
        <v>6</v>
      </c>
    </row>
    <row r="50" spans="1:7" x14ac:dyDescent="0.3">
      <c r="A50" t="s">
        <v>5</v>
      </c>
      <c r="B50" t="s">
        <v>8</v>
      </c>
      <c r="C50" s="1"/>
      <c r="D50" s="3"/>
      <c r="E50" s="3"/>
      <c r="F50" s="2" t="s">
        <v>2</v>
      </c>
      <c r="G50" t="s">
        <v>6</v>
      </c>
    </row>
    <row r="51" spans="1:7" x14ac:dyDescent="0.3">
      <c r="A51" t="s">
        <v>5</v>
      </c>
      <c r="B51" t="s">
        <v>8</v>
      </c>
      <c r="C51" s="1"/>
      <c r="D51" s="3"/>
      <c r="E51" s="3"/>
      <c r="F51" s="2" t="s">
        <v>2</v>
      </c>
      <c r="G51" t="s">
        <v>6</v>
      </c>
    </row>
    <row r="52" spans="1:7" x14ac:dyDescent="0.3">
      <c r="A52" t="s">
        <v>5</v>
      </c>
      <c r="B52" t="s">
        <v>8</v>
      </c>
      <c r="C52" s="1"/>
      <c r="D52" s="3"/>
      <c r="E52" s="3"/>
      <c r="F52" s="2" t="s">
        <v>2</v>
      </c>
      <c r="G52" t="s">
        <v>6</v>
      </c>
    </row>
    <row r="53" spans="1:7" x14ac:dyDescent="0.3">
      <c r="A53" t="s">
        <v>5</v>
      </c>
      <c r="B53" t="s">
        <v>8</v>
      </c>
      <c r="C53" s="1"/>
      <c r="D53" s="3"/>
      <c r="E53" s="3"/>
      <c r="F53" s="2" t="s">
        <v>2</v>
      </c>
      <c r="G53" t="s">
        <v>6</v>
      </c>
    </row>
    <row r="54" spans="1:7" x14ac:dyDescent="0.3">
      <c r="A54" t="s">
        <v>5</v>
      </c>
      <c r="B54" t="s">
        <v>8</v>
      </c>
      <c r="C54" s="1"/>
      <c r="D54" s="3"/>
      <c r="E54" s="3"/>
      <c r="F54" s="2" t="s">
        <v>2</v>
      </c>
      <c r="G54" t="s">
        <v>6</v>
      </c>
    </row>
    <row r="55" spans="1:7" x14ac:dyDescent="0.3">
      <c r="A55" t="s">
        <v>5</v>
      </c>
      <c r="B55" t="s">
        <v>8</v>
      </c>
      <c r="C55" s="1"/>
      <c r="D55" s="3"/>
      <c r="E55" s="3"/>
      <c r="F55" s="2" t="s">
        <v>2</v>
      </c>
      <c r="G55" t="s">
        <v>6</v>
      </c>
    </row>
  </sheetData>
  <sortState xmlns:xlrd2="http://schemas.microsoft.com/office/spreadsheetml/2017/richdata2" ref="B2:C55">
    <sortCondition ref="C2:C55"/>
  </sortState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Tasks_2026_06_30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Valters Riekstiņš</dc:creator>
  <cp:lastModifiedBy>Valters Riekstiņš</cp:lastModifiedBy>
  <dcterms:created xsi:type="dcterms:W3CDTF">2026-06-30T06:27:01Z</dcterms:created>
  <dcterms:modified xsi:type="dcterms:W3CDTF">2026-08-03T06:28:45Z</dcterms:modified>
</cp:coreProperties>
</file>